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 activeTab="2"/>
  </bookViews>
  <sheets>
    <sheet name="Sheet1" sheetId="1" r:id="rId1"/>
    <sheet name="Hz to ms" sheetId="2" r:id="rId2"/>
    <sheet name="차종분류" sheetId="3" r:id="rId3"/>
  </sheets>
  <calcPr calcId="144525"/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3" i="3"/>
  <c r="E9" i="3"/>
  <c r="E8" i="3"/>
  <c r="E7" i="3"/>
  <c r="E6" i="3"/>
  <c r="E5" i="3"/>
  <c r="E4" i="3"/>
  <c r="E3" i="3"/>
  <c r="D4" i="3"/>
  <c r="D5" i="3"/>
  <c r="D6" i="3"/>
  <c r="D7" i="3"/>
  <c r="D8" i="3"/>
  <c r="D9" i="3"/>
  <c r="D3" i="3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2" i="1"/>
</calcChain>
</file>

<file path=xl/sharedStrings.xml><?xml version="1.0" encoding="utf-8"?>
<sst xmlns="http://schemas.openxmlformats.org/spreadsheetml/2006/main" count="28" uniqueCount="28">
  <si>
    <t>센서 업데이트 속도</t>
    <phoneticPr fontId="1" type="noConversion"/>
  </si>
  <si>
    <t>최대 차량속도</t>
    <phoneticPr fontId="1" type="noConversion"/>
  </si>
  <si>
    <t>센서 간격(m)</t>
    <phoneticPr fontId="1" type="noConversion"/>
  </si>
  <si>
    <t>주파수</t>
    <phoneticPr fontId="1" type="noConversion"/>
  </si>
  <si>
    <t>밀리초(ms)</t>
    <phoneticPr fontId="1" type="noConversion"/>
  </si>
  <si>
    <t>구분</t>
    <phoneticPr fontId="1" type="noConversion"/>
  </si>
  <si>
    <t>오토바이</t>
    <phoneticPr fontId="1" type="noConversion"/>
  </si>
  <si>
    <t>승용차</t>
    <phoneticPr fontId="1" type="noConversion"/>
  </si>
  <si>
    <t>SUV/밴/소형 픽업트럭</t>
    <phoneticPr fontId="1" type="noConversion"/>
  </si>
  <si>
    <t>경트럭/미니버스</t>
    <phoneticPr fontId="1" type="noConversion"/>
  </si>
  <si>
    <t>중형 트럭/시내버스</t>
    <phoneticPr fontId="1" type="noConversion"/>
  </si>
  <si>
    <t>대형 트럭/시외버스</t>
    <phoneticPr fontId="1" type="noConversion"/>
  </si>
  <si>
    <t>관절형/트레일러 트럭</t>
    <phoneticPr fontId="1" type="noConversion"/>
  </si>
  <si>
    <t>길이(m)</t>
    <phoneticPr fontId="1" type="noConversion"/>
  </si>
  <si>
    <t>2~2.5</t>
    <phoneticPr fontId="1" type="noConversion"/>
  </si>
  <si>
    <t>3.5~4.5</t>
    <phoneticPr fontId="1" type="noConversion"/>
  </si>
  <si>
    <t>4.5~5.5</t>
    <phoneticPr fontId="1" type="noConversion"/>
  </si>
  <si>
    <t>6~7</t>
    <phoneticPr fontId="1" type="noConversion"/>
  </si>
  <si>
    <t>8~10</t>
    <phoneticPr fontId="1" type="noConversion"/>
  </si>
  <si>
    <t>11~13</t>
    <phoneticPr fontId="1" type="noConversion"/>
  </si>
  <si>
    <t>15~18</t>
    <phoneticPr fontId="1" type="noConversion"/>
  </si>
  <si>
    <t>차량이 한지점을 통과하는데 걸리는 시간</t>
    <phoneticPr fontId="1" type="noConversion"/>
  </si>
  <si>
    <t>시간(s) = 차량길이(m)/차량속도(m/s)</t>
    <phoneticPr fontId="1" type="noConversion"/>
  </si>
  <si>
    <t>차량속도(km/h)</t>
    <phoneticPr fontId="1" type="noConversion"/>
  </si>
  <si>
    <t>차량속도(m/s)=(km/h*1000)/3600</t>
    <phoneticPr fontId="1" type="noConversion"/>
  </si>
  <si>
    <t>차량속도(m/s)</t>
    <phoneticPr fontId="1" type="noConversion"/>
  </si>
  <si>
    <t>통행시간(최소길이로 계산, S)</t>
    <phoneticPr fontId="1" type="noConversion"/>
  </si>
  <si>
    <t>통행시간(ms)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</si>
</sst>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M126" sqref="M126"/>
    </sheetView>
  </sheetViews>
  <sheetFormatPr defaultRowHeight="16.5" x14ac:dyDescent="0.3"/>
  <cols>
    <col min="1" max="1" width="12.75" bestFit="1" customWidth="1"/>
    <col min="2" max="2" width="18.625" bestFit="1" customWidth="1"/>
    <col min="3" max="3" width="13.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0.1</v>
      </c>
      <c r="B2">
        <v>10</v>
      </c>
      <c r="C2">
        <f>A2*B2*3.6</f>
        <v>3.6</v>
      </c>
    </row>
    <row r="3" spans="1:3" x14ac:dyDescent="0.3">
      <c r="A3">
        <v>0.1</v>
      </c>
      <c r="B3">
        <v>11</v>
      </c>
      <c r="C3">
        <f t="shared" ref="C3:C66" si="0">A3*B3*3.6</f>
        <v>3.9600000000000004</v>
      </c>
    </row>
    <row r="4" spans="1:3" x14ac:dyDescent="0.3">
      <c r="A4">
        <v>0.1</v>
      </c>
      <c r="B4">
        <v>12</v>
      </c>
      <c r="C4">
        <f t="shared" si="0"/>
        <v>4.3200000000000012</v>
      </c>
    </row>
    <row r="5" spans="1:3" x14ac:dyDescent="0.3">
      <c r="A5">
        <v>0.1</v>
      </c>
      <c r="B5">
        <v>13</v>
      </c>
      <c r="C5">
        <f t="shared" si="0"/>
        <v>4.6800000000000006</v>
      </c>
    </row>
    <row r="6" spans="1:3" x14ac:dyDescent="0.3">
      <c r="A6">
        <v>0.1</v>
      </c>
      <c r="B6">
        <v>14</v>
      </c>
      <c r="C6">
        <f t="shared" si="0"/>
        <v>5.0400000000000009</v>
      </c>
    </row>
    <row r="7" spans="1:3" x14ac:dyDescent="0.3">
      <c r="A7">
        <v>0.1</v>
      </c>
      <c r="B7">
        <v>15</v>
      </c>
      <c r="C7">
        <f t="shared" si="0"/>
        <v>5.4</v>
      </c>
    </row>
    <row r="8" spans="1:3" x14ac:dyDescent="0.3">
      <c r="A8">
        <v>0.1</v>
      </c>
      <c r="B8">
        <v>16</v>
      </c>
      <c r="C8">
        <f t="shared" si="0"/>
        <v>5.7600000000000007</v>
      </c>
    </row>
    <row r="9" spans="1:3" x14ac:dyDescent="0.3">
      <c r="A9">
        <v>0.1</v>
      </c>
      <c r="B9">
        <v>17</v>
      </c>
      <c r="C9">
        <f t="shared" si="0"/>
        <v>6.120000000000001</v>
      </c>
    </row>
    <row r="10" spans="1:3" x14ac:dyDescent="0.3">
      <c r="A10">
        <v>0.1</v>
      </c>
      <c r="B10">
        <v>18</v>
      </c>
      <c r="C10">
        <f t="shared" si="0"/>
        <v>6.48</v>
      </c>
    </row>
    <row r="11" spans="1:3" x14ac:dyDescent="0.3">
      <c r="A11">
        <v>0.1</v>
      </c>
      <c r="B11">
        <v>19</v>
      </c>
      <c r="C11">
        <f t="shared" si="0"/>
        <v>6.8400000000000007</v>
      </c>
    </row>
    <row r="12" spans="1:3" x14ac:dyDescent="0.3">
      <c r="A12">
        <v>0.1</v>
      </c>
      <c r="B12">
        <v>20</v>
      </c>
      <c r="C12">
        <f t="shared" si="0"/>
        <v>7.2</v>
      </c>
    </row>
    <row r="13" spans="1:3" x14ac:dyDescent="0.3">
      <c r="A13">
        <v>0.1</v>
      </c>
      <c r="B13">
        <v>21</v>
      </c>
      <c r="C13">
        <f t="shared" si="0"/>
        <v>7.5600000000000005</v>
      </c>
    </row>
    <row r="14" spans="1:3" x14ac:dyDescent="0.3">
      <c r="A14">
        <v>0.1</v>
      </c>
      <c r="B14">
        <v>22</v>
      </c>
      <c r="C14">
        <f t="shared" si="0"/>
        <v>7.9200000000000008</v>
      </c>
    </row>
    <row r="15" spans="1:3" x14ac:dyDescent="0.3">
      <c r="A15">
        <v>0.1</v>
      </c>
      <c r="B15">
        <v>23</v>
      </c>
      <c r="C15">
        <f t="shared" si="0"/>
        <v>8.2800000000000011</v>
      </c>
    </row>
    <row r="16" spans="1:3" x14ac:dyDescent="0.3">
      <c r="A16">
        <v>0.1</v>
      </c>
      <c r="B16">
        <v>24</v>
      </c>
      <c r="C16">
        <f t="shared" si="0"/>
        <v>8.6400000000000023</v>
      </c>
    </row>
    <row r="17" spans="1:3" x14ac:dyDescent="0.3">
      <c r="A17">
        <v>0.1</v>
      </c>
      <c r="B17">
        <v>25</v>
      </c>
      <c r="C17">
        <f t="shared" si="0"/>
        <v>9</v>
      </c>
    </row>
    <row r="18" spans="1:3" x14ac:dyDescent="0.3">
      <c r="A18">
        <v>0.1</v>
      </c>
      <c r="B18">
        <v>26</v>
      </c>
      <c r="C18">
        <f t="shared" si="0"/>
        <v>9.3600000000000012</v>
      </c>
    </row>
    <row r="19" spans="1:3" x14ac:dyDescent="0.3">
      <c r="A19">
        <v>0.1</v>
      </c>
      <c r="B19">
        <v>27</v>
      </c>
      <c r="C19">
        <f t="shared" si="0"/>
        <v>9.7200000000000006</v>
      </c>
    </row>
    <row r="20" spans="1:3" x14ac:dyDescent="0.3">
      <c r="A20">
        <v>0.1</v>
      </c>
      <c r="B20">
        <v>28</v>
      </c>
      <c r="C20">
        <f t="shared" si="0"/>
        <v>10.080000000000002</v>
      </c>
    </row>
    <row r="21" spans="1:3" x14ac:dyDescent="0.3">
      <c r="A21">
        <v>0.1</v>
      </c>
      <c r="B21">
        <v>29</v>
      </c>
      <c r="C21">
        <f t="shared" si="0"/>
        <v>10.440000000000001</v>
      </c>
    </row>
    <row r="22" spans="1:3" x14ac:dyDescent="0.3">
      <c r="A22">
        <v>0.1</v>
      </c>
      <c r="B22">
        <v>30</v>
      </c>
      <c r="C22">
        <f t="shared" si="0"/>
        <v>10.8</v>
      </c>
    </row>
    <row r="23" spans="1:3" x14ac:dyDescent="0.3">
      <c r="A23">
        <v>0.1</v>
      </c>
      <c r="B23">
        <v>31</v>
      </c>
      <c r="C23">
        <f t="shared" si="0"/>
        <v>11.16</v>
      </c>
    </row>
    <row r="24" spans="1:3" x14ac:dyDescent="0.3">
      <c r="A24">
        <v>0.1</v>
      </c>
      <c r="B24">
        <v>32</v>
      </c>
      <c r="C24">
        <f t="shared" si="0"/>
        <v>11.520000000000001</v>
      </c>
    </row>
    <row r="25" spans="1:3" x14ac:dyDescent="0.3">
      <c r="A25">
        <v>0.1</v>
      </c>
      <c r="B25">
        <v>33</v>
      </c>
      <c r="C25">
        <f t="shared" si="0"/>
        <v>11.88</v>
      </c>
    </row>
    <row r="26" spans="1:3" x14ac:dyDescent="0.3">
      <c r="A26">
        <v>0.1</v>
      </c>
      <c r="B26">
        <v>34</v>
      </c>
      <c r="C26">
        <f t="shared" si="0"/>
        <v>12.240000000000002</v>
      </c>
    </row>
    <row r="27" spans="1:3" x14ac:dyDescent="0.3">
      <c r="A27">
        <v>0.1</v>
      </c>
      <c r="B27">
        <v>35</v>
      </c>
      <c r="C27">
        <f t="shared" si="0"/>
        <v>12.6</v>
      </c>
    </row>
    <row r="28" spans="1:3" x14ac:dyDescent="0.3">
      <c r="A28">
        <v>0.1</v>
      </c>
      <c r="B28">
        <v>36</v>
      </c>
      <c r="C28">
        <f t="shared" si="0"/>
        <v>12.96</v>
      </c>
    </row>
    <row r="29" spans="1:3" x14ac:dyDescent="0.3">
      <c r="A29">
        <v>0.1</v>
      </c>
      <c r="B29">
        <v>37</v>
      </c>
      <c r="C29">
        <f t="shared" si="0"/>
        <v>13.32</v>
      </c>
    </row>
    <row r="30" spans="1:3" x14ac:dyDescent="0.3">
      <c r="A30">
        <v>0.1</v>
      </c>
      <c r="B30">
        <v>38</v>
      </c>
      <c r="C30">
        <f t="shared" si="0"/>
        <v>13.680000000000001</v>
      </c>
    </row>
    <row r="31" spans="1:3" x14ac:dyDescent="0.3">
      <c r="A31">
        <v>0.1</v>
      </c>
      <c r="B31">
        <v>39</v>
      </c>
      <c r="C31">
        <f t="shared" si="0"/>
        <v>14.040000000000001</v>
      </c>
    </row>
    <row r="32" spans="1:3" x14ac:dyDescent="0.3">
      <c r="A32">
        <v>0.1</v>
      </c>
      <c r="B32">
        <v>40</v>
      </c>
      <c r="C32">
        <f t="shared" si="0"/>
        <v>14.4</v>
      </c>
    </row>
    <row r="33" spans="1:3" x14ac:dyDescent="0.3">
      <c r="A33">
        <v>0.1</v>
      </c>
      <c r="B33">
        <v>41</v>
      </c>
      <c r="C33">
        <f t="shared" si="0"/>
        <v>14.760000000000002</v>
      </c>
    </row>
    <row r="34" spans="1:3" x14ac:dyDescent="0.3">
      <c r="A34">
        <v>0.1</v>
      </c>
      <c r="B34">
        <v>42</v>
      </c>
      <c r="C34">
        <f t="shared" si="0"/>
        <v>15.120000000000001</v>
      </c>
    </row>
    <row r="35" spans="1:3" x14ac:dyDescent="0.3">
      <c r="A35">
        <v>0.1</v>
      </c>
      <c r="B35">
        <v>43</v>
      </c>
      <c r="C35">
        <f t="shared" si="0"/>
        <v>15.48</v>
      </c>
    </row>
    <row r="36" spans="1:3" x14ac:dyDescent="0.3">
      <c r="A36">
        <v>0.1</v>
      </c>
      <c r="B36">
        <v>44</v>
      </c>
      <c r="C36">
        <f t="shared" si="0"/>
        <v>15.840000000000002</v>
      </c>
    </row>
    <row r="37" spans="1:3" x14ac:dyDescent="0.3">
      <c r="A37">
        <v>0.1</v>
      </c>
      <c r="B37">
        <v>45</v>
      </c>
      <c r="C37">
        <f t="shared" si="0"/>
        <v>16.2</v>
      </c>
    </row>
    <row r="38" spans="1:3" x14ac:dyDescent="0.3">
      <c r="A38">
        <v>0.1</v>
      </c>
      <c r="B38">
        <v>46</v>
      </c>
      <c r="C38">
        <f t="shared" si="0"/>
        <v>16.560000000000002</v>
      </c>
    </row>
    <row r="39" spans="1:3" x14ac:dyDescent="0.3">
      <c r="A39">
        <v>0.1</v>
      </c>
      <c r="B39">
        <v>47</v>
      </c>
      <c r="C39">
        <f t="shared" si="0"/>
        <v>16.920000000000002</v>
      </c>
    </row>
    <row r="40" spans="1:3" x14ac:dyDescent="0.3">
      <c r="A40">
        <v>0.1</v>
      </c>
      <c r="B40">
        <v>48</v>
      </c>
      <c r="C40">
        <f t="shared" si="0"/>
        <v>17.280000000000005</v>
      </c>
    </row>
    <row r="41" spans="1:3" x14ac:dyDescent="0.3">
      <c r="A41">
        <v>0.1</v>
      </c>
      <c r="B41">
        <v>49</v>
      </c>
      <c r="C41">
        <f t="shared" si="0"/>
        <v>17.64</v>
      </c>
    </row>
    <row r="42" spans="1:3" x14ac:dyDescent="0.3">
      <c r="A42">
        <v>0.1</v>
      </c>
      <c r="B42">
        <v>50</v>
      </c>
      <c r="C42">
        <f t="shared" si="0"/>
        <v>18</v>
      </c>
    </row>
    <row r="43" spans="1:3" x14ac:dyDescent="0.3">
      <c r="A43">
        <v>0.1</v>
      </c>
      <c r="B43">
        <v>51</v>
      </c>
      <c r="C43">
        <f t="shared" si="0"/>
        <v>18.360000000000003</v>
      </c>
    </row>
    <row r="44" spans="1:3" x14ac:dyDescent="0.3">
      <c r="A44">
        <v>0.1</v>
      </c>
      <c r="B44">
        <v>52</v>
      </c>
      <c r="C44">
        <f t="shared" si="0"/>
        <v>18.720000000000002</v>
      </c>
    </row>
    <row r="45" spans="1:3" x14ac:dyDescent="0.3">
      <c r="A45">
        <v>0.1</v>
      </c>
      <c r="B45">
        <v>53</v>
      </c>
      <c r="C45">
        <f t="shared" si="0"/>
        <v>19.080000000000002</v>
      </c>
    </row>
    <row r="46" spans="1:3" x14ac:dyDescent="0.3">
      <c r="A46">
        <v>0.1</v>
      </c>
      <c r="B46">
        <v>54</v>
      </c>
      <c r="C46">
        <f t="shared" si="0"/>
        <v>19.440000000000001</v>
      </c>
    </row>
    <row r="47" spans="1:3" x14ac:dyDescent="0.3">
      <c r="A47">
        <v>0.1</v>
      </c>
      <c r="B47">
        <v>55</v>
      </c>
      <c r="C47">
        <f t="shared" si="0"/>
        <v>19.8</v>
      </c>
    </row>
    <row r="48" spans="1:3" x14ac:dyDescent="0.3">
      <c r="A48">
        <v>0.1</v>
      </c>
      <c r="B48">
        <v>56</v>
      </c>
      <c r="C48">
        <f t="shared" si="0"/>
        <v>20.160000000000004</v>
      </c>
    </row>
    <row r="49" spans="1:3" x14ac:dyDescent="0.3">
      <c r="A49">
        <v>0.1</v>
      </c>
      <c r="B49">
        <v>57</v>
      </c>
      <c r="C49">
        <f t="shared" si="0"/>
        <v>20.52</v>
      </c>
    </row>
    <row r="50" spans="1:3" x14ac:dyDescent="0.3">
      <c r="A50">
        <v>0.1</v>
      </c>
      <c r="B50">
        <v>58</v>
      </c>
      <c r="C50">
        <f t="shared" si="0"/>
        <v>20.880000000000003</v>
      </c>
    </row>
    <row r="51" spans="1:3" x14ac:dyDescent="0.3">
      <c r="A51">
        <v>0.1</v>
      </c>
      <c r="B51">
        <v>59</v>
      </c>
      <c r="C51">
        <f t="shared" si="0"/>
        <v>21.240000000000002</v>
      </c>
    </row>
    <row r="52" spans="1:3" x14ac:dyDescent="0.3">
      <c r="A52">
        <v>0.1</v>
      </c>
      <c r="B52">
        <v>60</v>
      </c>
      <c r="C52">
        <f t="shared" si="0"/>
        <v>21.6</v>
      </c>
    </row>
    <row r="53" spans="1:3" x14ac:dyDescent="0.3">
      <c r="A53">
        <v>0.1</v>
      </c>
      <c r="B53">
        <v>61</v>
      </c>
      <c r="C53">
        <f t="shared" si="0"/>
        <v>21.96</v>
      </c>
    </row>
    <row r="54" spans="1:3" x14ac:dyDescent="0.3">
      <c r="A54">
        <v>0.1</v>
      </c>
      <c r="B54">
        <v>62</v>
      </c>
      <c r="C54">
        <f t="shared" si="0"/>
        <v>22.32</v>
      </c>
    </row>
    <row r="55" spans="1:3" x14ac:dyDescent="0.3">
      <c r="A55">
        <v>0.1</v>
      </c>
      <c r="B55">
        <v>63</v>
      </c>
      <c r="C55">
        <f t="shared" si="0"/>
        <v>22.680000000000003</v>
      </c>
    </row>
    <row r="56" spans="1:3" x14ac:dyDescent="0.3">
      <c r="A56">
        <v>0.1</v>
      </c>
      <c r="B56">
        <v>64</v>
      </c>
      <c r="C56">
        <f t="shared" si="0"/>
        <v>23.040000000000003</v>
      </c>
    </row>
    <row r="57" spans="1:3" x14ac:dyDescent="0.3">
      <c r="A57">
        <v>0.1</v>
      </c>
      <c r="B57">
        <v>65</v>
      </c>
      <c r="C57">
        <f t="shared" si="0"/>
        <v>23.400000000000002</v>
      </c>
    </row>
    <row r="58" spans="1:3" x14ac:dyDescent="0.3">
      <c r="A58">
        <v>0.1</v>
      </c>
      <c r="B58">
        <v>66</v>
      </c>
      <c r="C58">
        <f t="shared" si="0"/>
        <v>23.76</v>
      </c>
    </row>
    <row r="59" spans="1:3" x14ac:dyDescent="0.3">
      <c r="A59">
        <v>0.1</v>
      </c>
      <c r="B59">
        <v>67</v>
      </c>
      <c r="C59">
        <f t="shared" si="0"/>
        <v>24.12</v>
      </c>
    </row>
    <row r="60" spans="1:3" x14ac:dyDescent="0.3">
      <c r="A60">
        <v>0.1</v>
      </c>
      <c r="B60">
        <v>68</v>
      </c>
      <c r="C60">
        <f t="shared" si="0"/>
        <v>24.480000000000004</v>
      </c>
    </row>
    <row r="61" spans="1:3" x14ac:dyDescent="0.3">
      <c r="A61">
        <v>0.1</v>
      </c>
      <c r="B61">
        <v>69</v>
      </c>
      <c r="C61">
        <f t="shared" si="0"/>
        <v>24.840000000000003</v>
      </c>
    </row>
    <row r="62" spans="1:3" x14ac:dyDescent="0.3">
      <c r="A62">
        <v>0.1</v>
      </c>
      <c r="B62">
        <v>70</v>
      </c>
      <c r="C62">
        <f t="shared" si="0"/>
        <v>25.2</v>
      </c>
    </row>
    <row r="63" spans="1:3" x14ac:dyDescent="0.3">
      <c r="A63">
        <v>0.1</v>
      </c>
      <c r="B63">
        <v>71</v>
      </c>
      <c r="C63">
        <f t="shared" si="0"/>
        <v>25.560000000000002</v>
      </c>
    </row>
    <row r="64" spans="1:3" x14ac:dyDescent="0.3">
      <c r="A64">
        <v>0.1</v>
      </c>
      <c r="B64">
        <v>72</v>
      </c>
      <c r="C64">
        <f t="shared" si="0"/>
        <v>25.92</v>
      </c>
    </row>
    <row r="65" spans="1:3" x14ac:dyDescent="0.3">
      <c r="A65">
        <v>0.1</v>
      </c>
      <c r="B65">
        <v>73</v>
      </c>
      <c r="C65">
        <f t="shared" si="0"/>
        <v>26.280000000000005</v>
      </c>
    </row>
    <row r="66" spans="1:3" x14ac:dyDescent="0.3">
      <c r="A66">
        <v>0.1</v>
      </c>
      <c r="B66">
        <v>74</v>
      </c>
      <c r="C66">
        <f t="shared" si="0"/>
        <v>26.64</v>
      </c>
    </row>
    <row r="67" spans="1:3" x14ac:dyDescent="0.3">
      <c r="A67">
        <v>0.1</v>
      </c>
      <c r="B67">
        <v>75</v>
      </c>
      <c r="C67">
        <f t="shared" ref="C67:C130" si="1">A67*B67*3.6</f>
        <v>27</v>
      </c>
    </row>
    <row r="68" spans="1:3" x14ac:dyDescent="0.3">
      <c r="A68">
        <v>0.1</v>
      </c>
      <c r="B68">
        <v>76</v>
      </c>
      <c r="C68">
        <f t="shared" si="1"/>
        <v>27.360000000000003</v>
      </c>
    </row>
    <row r="69" spans="1:3" x14ac:dyDescent="0.3">
      <c r="A69">
        <v>0.1</v>
      </c>
      <c r="B69">
        <v>77</v>
      </c>
      <c r="C69">
        <f t="shared" si="1"/>
        <v>27.720000000000002</v>
      </c>
    </row>
    <row r="70" spans="1:3" x14ac:dyDescent="0.3">
      <c r="A70">
        <v>0.1</v>
      </c>
      <c r="B70">
        <v>78</v>
      </c>
      <c r="C70">
        <f t="shared" si="1"/>
        <v>28.080000000000002</v>
      </c>
    </row>
    <row r="71" spans="1:3" x14ac:dyDescent="0.3">
      <c r="A71">
        <v>0.1</v>
      </c>
      <c r="B71">
        <v>79</v>
      </c>
      <c r="C71">
        <f t="shared" si="1"/>
        <v>28.44</v>
      </c>
    </row>
    <row r="72" spans="1:3" x14ac:dyDescent="0.3">
      <c r="A72">
        <v>0.1</v>
      </c>
      <c r="B72">
        <v>80</v>
      </c>
      <c r="C72">
        <f t="shared" si="1"/>
        <v>28.8</v>
      </c>
    </row>
    <row r="73" spans="1:3" x14ac:dyDescent="0.3">
      <c r="A73">
        <v>0.1</v>
      </c>
      <c r="B73">
        <v>81</v>
      </c>
      <c r="C73">
        <f t="shared" si="1"/>
        <v>29.16</v>
      </c>
    </row>
    <row r="74" spans="1:3" x14ac:dyDescent="0.3">
      <c r="A74">
        <v>0.1</v>
      </c>
      <c r="B74">
        <v>82</v>
      </c>
      <c r="C74">
        <f t="shared" si="1"/>
        <v>29.520000000000003</v>
      </c>
    </row>
    <row r="75" spans="1:3" x14ac:dyDescent="0.3">
      <c r="A75">
        <v>0.1</v>
      </c>
      <c r="B75">
        <v>83</v>
      </c>
      <c r="C75">
        <f t="shared" si="1"/>
        <v>29.880000000000003</v>
      </c>
    </row>
    <row r="76" spans="1:3" x14ac:dyDescent="0.3">
      <c r="A76">
        <v>0.1</v>
      </c>
      <c r="B76">
        <v>84</v>
      </c>
      <c r="C76">
        <f t="shared" si="1"/>
        <v>30.240000000000002</v>
      </c>
    </row>
    <row r="77" spans="1:3" x14ac:dyDescent="0.3">
      <c r="A77">
        <v>0.1</v>
      </c>
      <c r="B77">
        <v>85</v>
      </c>
      <c r="C77">
        <f t="shared" si="1"/>
        <v>30.6</v>
      </c>
    </row>
    <row r="78" spans="1:3" x14ac:dyDescent="0.3">
      <c r="A78">
        <v>0.1</v>
      </c>
      <c r="B78">
        <v>86</v>
      </c>
      <c r="C78">
        <f t="shared" si="1"/>
        <v>30.96</v>
      </c>
    </row>
    <row r="79" spans="1:3" x14ac:dyDescent="0.3">
      <c r="A79">
        <v>0.1</v>
      </c>
      <c r="B79">
        <v>87</v>
      </c>
      <c r="C79">
        <f t="shared" si="1"/>
        <v>31.320000000000004</v>
      </c>
    </row>
    <row r="80" spans="1:3" x14ac:dyDescent="0.3">
      <c r="A80">
        <v>0.1</v>
      </c>
      <c r="B80">
        <v>88</v>
      </c>
      <c r="C80">
        <f t="shared" si="1"/>
        <v>31.680000000000003</v>
      </c>
    </row>
    <row r="81" spans="1:3" x14ac:dyDescent="0.3">
      <c r="A81">
        <v>0.1</v>
      </c>
      <c r="B81">
        <v>89</v>
      </c>
      <c r="C81">
        <f t="shared" si="1"/>
        <v>32.04</v>
      </c>
    </row>
    <row r="82" spans="1:3" x14ac:dyDescent="0.3">
      <c r="A82">
        <v>0.1</v>
      </c>
      <c r="B82">
        <v>90</v>
      </c>
      <c r="C82">
        <f t="shared" si="1"/>
        <v>32.4</v>
      </c>
    </row>
    <row r="83" spans="1:3" x14ac:dyDescent="0.3">
      <c r="A83">
        <v>0.1</v>
      </c>
      <c r="B83">
        <v>91</v>
      </c>
      <c r="C83">
        <f t="shared" si="1"/>
        <v>32.76</v>
      </c>
    </row>
    <row r="84" spans="1:3" x14ac:dyDescent="0.3">
      <c r="A84">
        <v>0.1</v>
      </c>
      <c r="B84">
        <v>92</v>
      </c>
      <c r="C84">
        <f t="shared" si="1"/>
        <v>33.120000000000005</v>
      </c>
    </row>
    <row r="85" spans="1:3" x14ac:dyDescent="0.3">
      <c r="A85">
        <v>0.1</v>
      </c>
      <c r="B85">
        <v>93</v>
      </c>
      <c r="C85">
        <f t="shared" si="1"/>
        <v>33.480000000000004</v>
      </c>
    </row>
    <row r="86" spans="1:3" x14ac:dyDescent="0.3">
      <c r="A86">
        <v>0.1</v>
      </c>
      <c r="B86">
        <v>94</v>
      </c>
      <c r="C86">
        <f t="shared" si="1"/>
        <v>33.840000000000003</v>
      </c>
    </row>
    <row r="87" spans="1:3" x14ac:dyDescent="0.3">
      <c r="A87">
        <v>0.1</v>
      </c>
      <c r="B87">
        <v>95</v>
      </c>
      <c r="C87">
        <f t="shared" si="1"/>
        <v>34.200000000000003</v>
      </c>
    </row>
    <row r="88" spans="1:3" x14ac:dyDescent="0.3">
      <c r="A88">
        <v>0.1</v>
      </c>
      <c r="B88">
        <v>96</v>
      </c>
      <c r="C88">
        <f t="shared" si="1"/>
        <v>34.560000000000009</v>
      </c>
    </row>
    <row r="89" spans="1:3" x14ac:dyDescent="0.3">
      <c r="A89">
        <v>0.1</v>
      </c>
      <c r="B89">
        <v>97</v>
      </c>
      <c r="C89">
        <f t="shared" si="1"/>
        <v>34.92</v>
      </c>
    </row>
    <row r="90" spans="1:3" x14ac:dyDescent="0.3">
      <c r="A90">
        <v>0.1</v>
      </c>
      <c r="B90">
        <v>98</v>
      </c>
      <c r="C90">
        <f t="shared" si="1"/>
        <v>35.28</v>
      </c>
    </row>
    <row r="91" spans="1:3" x14ac:dyDescent="0.3">
      <c r="A91">
        <v>0.1</v>
      </c>
      <c r="B91">
        <v>99</v>
      </c>
      <c r="C91">
        <f t="shared" si="1"/>
        <v>35.64</v>
      </c>
    </row>
    <row r="92" spans="1:3" x14ac:dyDescent="0.3">
      <c r="A92">
        <v>0.1</v>
      </c>
      <c r="B92">
        <v>100</v>
      </c>
      <c r="C92">
        <f t="shared" si="1"/>
        <v>36</v>
      </c>
    </row>
    <row r="93" spans="1:3" x14ac:dyDescent="0.3">
      <c r="A93">
        <v>0.1</v>
      </c>
      <c r="B93">
        <v>101</v>
      </c>
      <c r="C93">
        <f t="shared" si="1"/>
        <v>36.360000000000007</v>
      </c>
    </row>
    <row r="94" spans="1:3" x14ac:dyDescent="0.3">
      <c r="A94">
        <v>0.1</v>
      </c>
      <c r="B94">
        <v>102</v>
      </c>
      <c r="C94">
        <f t="shared" si="1"/>
        <v>36.720000000000006</v>
      </c>
    </row>
    <row r="95" spans="1:3" x14ac:dyDescent="0.3">
      <c r="A95">
        <v>0.1</v>
      </c>
      <c r="B95">
        <v>103</v>
      </c>
      <c r="C95">
        <f t="shared" si="1"/>
        <v>37.080000000000005</v>
      </c>
    </row>
    <row r="96" spans="1:3" x14ac:dyDescent="0.3">
      <c r="A96">
        <v>0.1</v>
      </c>
      <c r="B96">
        <v>104</v>
      </c>
      <c r="C96">
        <f t="shared" si="1"/>
        <v>37.440000000000005</v>
      </c>
    </row>
    <row r="97" spans="1:3" x14ac:dyDescent="0.3">
      <c r="A97">
        <v>0.1</v>
      </c>
      <c r="B97">
        <v>105</v>
      </c>
      <c r="C97">
        <f t="shared" si="1"/>
        <v>37.800000000000004</v>
      </c>
    </row>
    <row r="98" spans="1:3" x14ac:dyDescent="0.3">
      <c r="A98">
        <v>0.1</v>
      </c>
      <c r="B98">
        <v>106</v>
      </c>
      <c r="C98">
        <f t="shared" si="1"/>
        <v>38.160000000000004</v>
      </c>
    </row>
    <row r="99" spans="1:3" x14ac:dyDescent="0.3">
      <c r="A99">
        <v>0.1</v>
      </c>
      <c r="B99">
        <v>107</v>
      </c>
      <c r="C99">
        <f t="shared" si="1"/>
        <v>38.520000000000003</v>
      </c>
    </row>
    <row r="100" spans="1:3" x14ac:dyDescent="0.3">
      <c r="A100">
        <v>0.1</v>
      </c>
      <c r="B100">
        <v>108</v>
      </c>
      <c r="C100">
        <f t="shared" si="1"/>
        <v>38.880000000000003</v>
      </c>
    </row>
    <row r="101" spans="1:3" x14ac:dyDescent="0.3">
      <c r="A101">
        <v>0.1</v>
      </c>
      <c r="B101">
        <v>109</v>
      </c>
      <c r="C101">
        <f t="shared" si="1"/>
        <v>39.24</v>
      </c>
    </row>
    <row r="102" spans="1:3" x14ac:dyDescent="0.3">
      <c r="A102">
        <v>0.1</v>
      </c>
      <c r="B102">
        <v>110</v>
      </c>
      <c r="C102">
        <f t="shared" si="1"/>
        <v>39.6</v>
      </c>
    </row>
    <row r="103" spans="1:3" x14ac:dyDescent="0.3">
      <c r="A103">
        <v>0.1</v>
      </c>
      <c r="B103">
        <v>111</v>
      </c>
      <c r="C103">
        <f t="shared" si="1"/>
        <v>39.960000000000008</v>
      </c>
    </row>
    <row r="104" spans="1:3" x14ac:dyDescent="0.3">
      <c r="A104">
        <v>0.1</v>
      </c>
      <c r="B104">
        <v>112</v>
      </c>
      <c r="C104">
        <f t="shared" si="1"/>
        <v>40.320000000000007</v>
      </c>
    </row>
    <row r="105" spans="1:3" x14ac:dyDescent="0.3">
      <c r="A105">
        <v>0.1</v>
      </c>
      <c r="B105">
        <v>113</v>
      </c>
      <c r="C105">
        <f t="shared" si="1"/>
        <v>40.680000000000007</v>
      </c>
    </row>
    <row r="106" spans="1:3" x14ac:dyDescent="0.3">
      <c r="A106">
        <v>0.1</v>
      </c>
      <c r="B106">
        <v>114</v>
      </c>
      <c r="C106">
        <f t="shared" si="1"/>
        <v>41.04</v>
      </c>
    </row>
    <row r="107" spans="1:3" x14ac:dyDescent="0.3">
      <c r="A107">
        <v>0.1</v>
      </c>
      <c r="B107">
        <v>115</v>
      </c>
      <c r="C107">
        <f t="shared" si="1"/>
        <v>41.4</v>
      </c>
    </row>
    <row r="108" spans="1:3" x14ac:dyDescent="0.3">
      <c r="A108">
        <v>0.1</v>
      </c>
      <c r="B108">
        <v>116</v>
      </c>
      <c r="C108">
        <f t="shared" si="1"/>
        <v>41.760000000000005</v>
      </c>
    </row>
    <row r="109" spans="1:3" x14ac:dyDescent="0.3">
      <c r="A109">
        <v>0.1</v>
      </c>
      <c r="B109">
        <v>117</v>
      </c>
      <c r="C109">
        <f t="shared" si="1"/>
        <v>42.120000000000005</v>
      </c>
    </row>
    <row r="110" spans="1:3" x14ac:dyDescent="0.3">
      <c r="A110">
        <v>0.1</v>
      </c>
      <c r="B110">
        <v>118</v>
      </c>
      <c r="C110">
        <f t="shared" si="1"/>
        <v>42.480000000000004</v>
      </c>
    </row>
    <row r="111" spans="1:3" x14ac:dyDescent="0.3">
      <c r="A111">
        <v>0.1</v>
      </c>
      <c r="B111">
        <v>119</v>
      </c>
      <c r="C111">
        <f t="shared" si="1"/>
        <v>42.84</v>
      </c>
    </row>
    <row r="112" spans="1:3" x14ac:dyDescent="0.3">
      <c r="A112">
        <v>0.1</v>
      </c>
      <c r="B112">
        <v>120</v>
      </c>
      <c r="C112">
        <f t="shared" si="1"/>
        <v>43.2</v>
      </c>
    </row>
    <row r="113" spans="1:3" x14ac:dyDescent="0.3">
      <c r="A113">
        <v>0.1</v>
      </c>
      <c r="B113">
        <v>121</v>
      </c>
      <c r="C113">
        <f t="shared" si="1"/>
        <v>43.560000000000009</v>
      </c>
    </row>
    <row r="114" spans="1:3" x14ac:dyDescent="0.3">
      <c r="A114">
        <v>0.1</v>
      </c>
      <c r="B114">
        <v>122</v>
      </c>
      <c r="C114">
        <f t="shared" si="1"/>
        <v>43.92</v>
      </c>
    </row>
    <row r="115" spans="1:3" x14ac:dyDescent="0.3">
      <c r="A115">
        <v>0.1</v>
      </c>
      <c r="B115">
        <v>123</v>
      </c>
      <c r="C115">
        <f t="shared" si="1"/>
        <v>44.28</v>
      </c>
    </row>
    <row r="116" spans="1:3" x14ac:dyDescent="0.3">
      <c r="A116">
        <v>0.1</v>
      </c>
      <c r="B116">
        <v>124</v>
      </c>
      <c r="C116">
        <f t="shared" si="1"/>
        <v>44.64</v>
      </c>
    </row>
    <row r="117" spans="1:3" x14ac:dyDescent="0.3">
      <c r="A117">
        <v>0.1</v>
      </c>
      <c r="B117">
        <v>125</v>
      </c>
      <c r="C117">
        <f t="shared" si="1"/>
        <v>45</v>
      </c>
    </row>
    <row r="118" spans="1:3" x14ac:dyDescent="0.3">
      <c r="A118">
        <v>0.1</v>
      </c>
      <c r="B118">
        <v>126</v>
      </c>
      <c r="C118">
        <f t="shared" si="1"/>
        <v>45.360000000000007</v>
      </c>
    </row>
    <row r="119" spans="1:3" x14ac:dyDescent="0.3">
      <c r="A119">
        <v>0.1</v>
      </c>
      <c r="B119">
        <v>127</v>
      </c>
      <c r="C119">
        <f t="shared" si="1"/>
        <v>45.720000000000006</v>
      </c>
    </row>
    <row r="120" spans="1:3" x14ac:dyDescent="0.3">
      <c r="A120">
        <v>0.1</v>
      </c>
      <c r="B120">
        <v>128</v>
      </c>
      <c r="C120">
        <f t="shared" si="1"/>
        <v>46.080000000000005</v>
      </c>
    </row>
    <row r="121" spans="1:3" x14ac:dyDescent="0.3">
      <c r="A121">
        <v>0.1</v>
      </c>
      <c r="B121">
        <v>129</v>
      </c>
      <c r="C121">
        <f t="shared" si="1"/>
        <v>46.440000000000005</v>
      </c>
    </row>
    <row r="122" spans="1:3" x14ac:dyDescent="0.3">
      <c r="A122">
        <v>0.1</v>
      </c>
      <c r="B122">
        <v>130</v>
      </c>
      <c r="C122">
        <f t="shared" si="1"/>
        <v>46.800000000000004</v>
      </c>
    </row>
    <row r="123" spans="1:3" x14ac:dyDescent="0.3">
      <c r="A123">
        <v>0.1</v>
      </c>
      <c r="B123">
        <v>131</v>
      </c>
      <c r="C123">
        <f t="shared" si="1"/>
        <v>47.160000000000004</v>
      </c>
    </row>
    <row r="124" spans="1:3" x14ac:dyDescent="0.3">
      <c r="A124">
        <v>0.1</v>
      </c>
      <c r="B124">
        <v>132</v>
      </c>
      <c r="C124">
        <f t="shared" si="1"/>
        <v>47.52</v>
      </c>
    </row>
    <row r="125" spans="1:3" x14ac:dyDescent="0.3">
      <c r="A125">
        <v>0.1</v>
      </c>
      <c r="B125">
        <v>133</v>
      </c>
      <c r="C125">
        <f t="shared" si="1"/>
        <v>47.88</v>
      </c>
    </row>
    <row r="126" spans="1:3" x14ac:dyDescent="0.3">
      <c r="A126">
        <v>0.1</v>
      </c>
      <c r="B126">
        <v>134</v>
      </c>
      <c r="C126">
        <f t="shared" si="1"/>
        <v>48.24</v>
      </c>
    </row>
    <row r="127" spans="1:3" x14ac:dyDescent="0.3">
      <c r="A127">
        <v>0.1</v>
      </c>
      <c r="B127">
        <v>135</v>
      </c>
      <c r="C127">
        <f t="shared" si="1"/>
        <v>48.6</v>
      </c>
    </row>
    <row r="128" spans="1:3" x14ac:dyDescent="0.3">
      <c r="A128">
        <v>0.1</v>
      </c>
      <c r="B128">
        <v>136</v>
      </c>
      <c r="C128">
        <f t="shared" si="1"/>
        <v>48.960000000000008</v>
      </c>
    </row>
    <row r="129" spans="1:3" x14ac:dyDescent="0.3">
      <c r="A129">
        <v>0.1</v>
      </c>
      <c r="B129">
        <v>137</v>
      </c>
      <c r="C129">
        <f t="shared" si="1"/>
        <v>49.320000000000007</v>
      </c>
    </row>
    <row r="130" spans="1:3" x14ac:dyDescent="0.3">
      <c r="A130">
        <v>0.1</v>
      </c>
      <c r="B130">
        <v>138</v>
      </c>
      <c r="C130">
        <f t="shared" si="1"/>
        <v>49.680000000000007</v>
      </c>
    </row>
    <row r="131" spans="1:3" x14ac:dyDescent="0.3">
      <c r="A131">
        <v>0.1</v>
      </c>
      <c r="B131">
        <v>139</v>
      </c>
      <c r="C131">
        <f t="shared" ref="C131:C132" si="2">A131*B131*3.6</f>
        <v>50.04</v>
      </c>
    </row>
    <row r="132" spans="1:3" x14ac:dyDescent="0.3">
      <c r="A132">
        <v>0.1</v>
      </c>
      <c r="B132">
        <v>140</v>
      </c>
      <c r="C132">
        <f t="shared" si="2"/>
        <v>50.4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1" sqref="A11:B11"/>
    </sheetView>
  </sheetViews>
  <sheetFormatPr defaultRowHeight="16.5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</v>
      </c>
      <c r="B2">
        <f>1000/A2</f>
        <v>1000</v>
      </c>
    </row>
    <row r="3" spans="1:2" x14ac:dyDescent="0.3">
      <c r="A3">
        <v>2</v>
      </c>
      <c r="B3">
        <f t="shared" ref="B3:B20" si="0">1000/A3</f>
        <v>500</v>
      </c>
    </row>
    <row r="4" spans="1:2" x14ac:dyDescent="0.3">
      <c r="A4">
        <v>3</v>
      </c>
      <c r="B4">
        <f t="shared" si="0"/>
        <v>333.33333333333331</v>
      </c>
    </row>
    <row r="5" spans="1:2" x14ac:dyDescent="0.3">
      <c r="A5">
        <v>4</v>
      </c>
      <c r="B5">
        <f t="shared" si="0"/>
        <v>250</v>
      </c>
    </row>
    <row r="6" spans="1:2" x14ac:dyDescent="0.3">
      <c r="A6">
        <v>5</v>
      </c>
      <c r="B6">
        <f t="shared" si="0"/>
        <v>200</v>
      </c>
    </row>
    <row r="7" spans="1:2" x14ac:dyDescent="0.3">
      <c r="A7">
        <v>6</v>
      </c>
      <c r="B7">
        <f t="shared" si="0"/>
        <v>166.66666666666666</v>
      </c>
    </row>
    <row r="8" spans="1:2" x14ac:dyDescent="0.3">
      <c r="A8">
        <v>7</v>
      </c>
      <c r="B8">
        <f t="shared" si="0"/>
        <v>142.85714285714286</v>
      </c>
    </row>
    <row r="9" spans="1:2" x14ac:dyDescent="0.3">
      <c r="A9">
        <v>8</v>
      </c>
      <c r="B9">
        <f t="shared" si="0"/>
        <v>125</v>
      </c>
    </row>
    <row r="10" spans="1:2" x14ac:dyDescent="0.3">
      <c r="A10">
        <v>9</v>
      </c>
      <c r="B10">
        <f t="shared" si="0"/>
        <v>111.11111111111111</v>
      </c>
    </row>
    <row r="11" spans="1:2" x14ac:dyDescent="0.3">
      <c r="A11" s="1">
        <v>10</v>
      </c>
      <c r="B11" s="1">
        <f t="shared" si="0"/>
        <v>100</v>
      </c>
    </row>
    <row r="12" spans="1:2" x14ac:dyDescent="0.3">
      <c r="A12" s="1">
        <v>20</v>
      </c>
      <c r="B12" s="1">
        <f t="shared" si="0"/>
        <v>50</v>
      </c>
    </row>
    <row r="13" spans="1:2" x14ac:dyDescent="0.3">
      <c r="A13">
        <v>30</v>
      </c>
      <c r="B13">
        <f t="shared" si="0"/>
        <v>33.333333333333336</v>
      </c>
    </row>
    <row r="14" spans="1:2" x14ac:dyDescent="0.3">
      <c r="A14">
        <v>40</v>
      </c>
      <c r="B14">
        <f t="shared" si="0"/>
        <v>25</v>
      </c>
    </row>
    <row r="15" spans="1:2" x14ac:dyDescent="0.3">
      <c r="A15" s="1">
        <v>50</v>
      </c>
      <c r="B15" s="1">
        <f t="shared" si="0"/>
        <v>20</v>
      </c>
    </row>
    <row r="16" spans="1:2" x14ac:dyDescent="0.3">
      <c r="A16">
        <v>60</v>
      </c>
      <c r="B16">
        <f t="shared" si="0"/>
        <v>16.666666666666668</v>
      </c>
    </row>
    <row r="17" spans="1:2" x14ac:dyDescent="0.3">
      <c r="A17">
        <v>70</v>
      </c>
      <c r="B17">
        <f t="shared" si="0"/>
        <v>14.285714285714286</v>
      </c>
    </row>
    <row r="18" spans="1:2" x14ac:dyDescent="0.3">
      <c r="A18">
        <v>80</v>
      </c>
      <c r="B18">
        <f t="shared" si="0"/>
        <v>12.5</v>
      </c>
    </row>
    <row r="19" spans="1:2" x14ac:dyDescent="0.3">
      <c r="A19">
        <v>90</v>
      </c>
      <c r="B19">
        <f t="shared" si="0"/>
        <v>11.111111111111111</v>
      </c>
    </row>
    <row r="20" spans="1:2" x14ac:dyDescent="0.3">
      <c r="A20" s="1">
        <v>100</v>
      </c>
      <c r="B20" s="1">
        <f t="shared" si="0"/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tabSelected="1" workbookViewId="0">
      <selection activeCell="I28" sqref="I28"/>
    </sheetView>
  </sheetViews>
  <sheetFormatPr defaultRowHeight="16.5" x14ac:dyDescent="0.3"/>
  <cols>
    <col min="1" max="1" width="21.5" bestFit="1" customWidth="1"/>
    <col min="2" max="2" width="10.75" customWidth="1"/>
    <col min="3" max="3" width="15.375" customWidth="1"/>
    <col min="4" max="4" width="13.25" customWidth="1"/>
    <col min="5" max="5" width="27.75" bestFit="1" customWidth="1"/>
  </cols>
  <sheetData>
    <row r="2" spans="1:6" x14ac:dyDescent="0.3">
      <c r="A2" t="s">
        <v>5</v>
      </c>
      <c r="B2" t="s">
        <v>13</v>
      </c>
      <c r="C2" t="s">
        <v>23</v>
      </c>
      <c r="D2" t="s">
        <v>25</v>
      </c>
      <c r="E2" t="s">
        <v>26</v>
      </c>
      <c r="F2" t="s">
        <v>27</v>
      </c>
    </row>
    <row r="3" spans="1:6" x14ac:dyDescent="0.3">
      <c r="A3" t="s">
        <v>6</v>
      </c>
      <c r="B3" t="s">
        <v>14</v>
      </c>
      <c r="C3">
        <v>200</v>
      </c>
      <c r="D3">
        <f>(C3*1000)/3600</f>
        <v>55.555555555555557</v>
      </c>
      <c r="E3">
        <f>2/D3</f>
        <v>3.5999999999999997E-2</v>
      </c>
      <c r="F3">
        <f>E3*1000</f>
        <v>36</v>
      </c>
    </row>
    <row r="4" spans="1:6" x14ac:dyDescent="0.3">
      <c r="A4" t="s">
        <v>7</v>
      </c>
      <c r="B4" t="s">
        <v>15</v>
      </c>
      <c r="C4">
        <v>200</v>
      </c>
      <c r="D4">
        <f t="shared" ref="D4:D9" si="0">(C4*1000)/3600</f>
        <v>55.555555555555557</v>
      </c>
      <c r="E4">
        <f>3.5/D4</f>
        <v>6.3E-2</v>
      </c>
      <c r="F4">
        <f t="shared" ref="F4:F9" si="1">E4*1000</f>
        <v>63</v>
      </c>
    </row>
    <row r="5" spans="1:6" x14ac:dyDescent="0.3">
      <c r="A5" t="s">
        <v>8</v>
      </c>
      <c r="B5" t="s">
        <v>16</v>
      </c>
      <c r="C5">
        <v>200</v>
      </c>
      <c r="D5">
        <f t="shared" si="0"/>
        <v>55.555555555555557</v>
      </c>
      <c r="E5">
        <f>4.5/D5</f>
        <v>8.1000000000000003E-2</v>
      </c>
      <c r="F5">
        <f t="shared" si="1"/>
        <v>81</v>
      </c>
    </row>
    <row r="6" spans="1:6" x14ac:dyDescent="0.3">
      <c r="A6" t="s">
        <v>9</v>
      </c>
      <c r="B6" t="s">
        <v>17</v>
      </c>
      <c r="C6">
        <v>200</v>
      </c>
      <c r="D6">
        <f t="shared" si="0"/>
        <v>55.555555555555557</v>
      </c>
      <c r="E6">
        <f>6/D6</f>
        <v>0.108</v>
      </c>
      <c r="F6">
        <f t="shared" si="1"/>
        <v>108</v>
      </c>
    </row>
    <row r="7" spans="1:6" x14ac:dyDescent="0.3">
      <c r="A7" t="s">
        <v>10</v>
      </c>
      <c r="B7" t="s">
        <v>18</v>
      </c>
      <c r="C7">
        <v>200</v>
      </c>
      <c r="D7">
        <f t="shared" si="0"/>
        <v>55.555555555555557</v>
      </c>
      <c r="E7">
        <f>8/D7</f>
        <v>0.14399999999999999</v>
      </c>
      <c r="F7">
        <f t="shared" si="1"/>
        <v>144</v>
      </c>
    </row>
    <row r="8" spans="1:6" x14ac:dyDescent="0.3">
      <c r="A8" t="s">
        <v>11</v>
      </c>
      <c r="B8" t="s">
        <v>19</v>
      </c>
      <c r="C8">
        <v>200</v>
      </c>
      <c r="D8">
        <f t="shared" si="0"/>
        <v>55.555555555555557</v>
      </c>
      <c r="E8">
        <f>11/D8</f>
        <v>0.19799999999999998</v>
      </c>
      <c r="F8">
        <f t="shared" si="1"/>
        <v>197.99999999999997</v>
      </c>
    </row>
    <row r="9" spans="1:6" x14ac:dyDescent="0.3">
      <c r="A9" t="s">
        <v>12</v>
      </c>
      <c r="B9" t="s">
        <v>20</v>
      </c>
      <c r="C9">
        <v>200</v>
      </c>
      <c r="D9">
        <f t="shared" si="0"/>
        <v>55.555555555555557</v>
      </c>
      <c r="E9">
        <f>15/D9</f>
        <v>0.27</v>
      </c>
      <c r="F9">
        <f t="shared" si="1"/>
        <v>270</v>
      </c>
    </row>
    <row r="11" spans="1:6" x14ac:dyDescent="0.3">
      <c r="A11" t="s">
        <v>21</v>
      </c>
    </row>
    <row r="12" spans="1:6" x14ac:dyDescent="0.3">
      <c r="A12" t="s">
        <v>22</v>
      </c>
    </row>
    <row r="13" spans="1:6" x14ac:dyDescent="0.3">
      <c r="A1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Hz to ms</vt:lpstr>
      <vt:lpstr>차종분류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2025-04-17T08:44:48Z</dcterms:created>
  <dcterms:modified xsi:type="dcterms:W3CDTF">2025-06-24T05:13:13Z</dcterms:modified>
</cp:coreProperties>
</file>